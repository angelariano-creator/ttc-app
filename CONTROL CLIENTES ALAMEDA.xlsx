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3A36712-E726-4CCE-BB42-37A43B7F847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RRE 3" sheetId="12" r:id="rId1"/>
    <sheet name="CONTROLLO VENDITE TORRE 3" sheetId="15" r:id="rId2"/>
  </sheets>
  <definedNames>
    <definedName name="_xlnm._FilterDatabase" localSheetId="0" hidden="1">'TORRE 3'!$A$1:$AM$13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7" i="12" l="1"/>
  <c r="AB4" i="12" l="1"/>
  <c r="AB5" i="12"/>
  <c r="AB8" i="12"/>
  <c r="AB9" i="12"/>
  <c r="AB10" i="12"/>
  <c r="AB12" i="12"/>
  <c r="AB13" i="12"/>
  <c r="AB14" i="12"/>
  <c r="AB16" i="12"/>
  <c r="AB17" i="12"/>
  <c r="AB18" i="12"/>
  <c r="AB20" i="12"/>
  <c r="AB21" i="12"/>
  <c r="AA3" i="12"/>
  <c r="AB3" i="12" s="1"/>
  <c r="AA4" i="12"/>
  <c r="AA5" i="12"/>
  <c r="AA6" i="12"/>
  <c r="AB6" i="12" s="1"/>
  <c r="AA7" i="12"/>
  <c r="AA8" i="12"/>
  <c r="AA9" i="12"/>
  <c r="AA10" i="12"/>
  <c r="AA11" i="12"/>
  <c r="AB11" i="12" s="1"/>
  <c r="AA12" i="12"/>
  <c r="AA13" i="12"/>
  <c r="AA14" i="12"/>
  <c r="AA15" i="12"/>
  <c r="AB15" i="12" s="1"/>
  <c r="AA16" i="12"/>
  <c r="AA17" i="12"/>
  <c r="AA18" i="12"/>
  <c r="AA19" i="12"/>
  <c r="AB19" i="12" s="1"/>
  <c r="AA20" i="12"/>
  <c r="AA21" i="12"/>
  <c r="AB7" i="12" l="1"/>
  <c r="AJ7" i="12"/>
  <c r="M4" i="15"/>
  <c r="M5" i="15"/>
  <c r="M6" i="15"/>
  <c r="M7" i="15"/>
  <c r="M8" i="15"/>
  <c r="M9" i="15"/>
  <c r="M10" i="15"/>
  <c r="M11" i="15"/>
  <c r="M12" i="15"/>
  <c r="M13" i="15"/>
  <c r="M14" i="15"/>
  <c r="M15" i="15"/>
  <c r="M3" i="15"/>
  <c r="AJ4" i="12"/>
  <c r="AJ5" i="12"/>
  <c r="AJ6" i="12"/>
  <c r="AJ8" i="12"/>
  <c r="AJ9" i="12"/>
  <c r="AJ10" i="12"/>
  <c r="AJ11" i="12"/>
  <c r="AJ12" i="12"/>
  <c r="AJ13" i="12"/>
  <c r="AJ14" i="12"/>
  <c r="AJ15" i="12"/>
  <c r="AJ16" i="12"/>
  <c r="AJ17" i="12"/>
  <c r="AJ18" i="12"/>
  <c r="AJ19" i="12"/>
  <c r="AJ20" i="12"/>
  <c r="AJ21" i="12"/>
  <c r="AI3" i="12"/>
  <c r="AI4" i="12"/>
  <c r="AI5" i="12"/>
  <c r="AI6" i="12"/>
  <c r="AI7" i="12"/>
  <c r="AI8" i="12"/>
  <c r="AI9" i="12"/>
  <c r="AI10" i="12"/>
  <c r="AI11" i="12"/>
  <c r="AI12" i="12"/>
  <c r="AI13" i="12"/>
  <c r="AI14" i="12"/>
  <c r="AI15" i="12"/>
  <c r="AI16" i="12"/>
  <c r="AI17" i="12"/>
  <c r="AI18" i="12"/>
  <c r="AI19" i="12"/>
  <c r="AI20" i="12"/>
  <c r="AI21" i="12"/>
  <c r="AI2" i="12"/>
  <c r="AJ3" i="12" l="1"/>
  <c r="M2" i="15" l="1"/>
  <c r="AA2" i="12"/>
  <c r="AB2" i="12" l="1"/>
  <c r="AJ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Alessandro Carloni INTAC SRL</author>
  </authors>
  <commentList>
    <comment ref="L1" authorId="0" shapeId="0" xr:uid="{00000000-0006-0000-0400-000001000000}">
      <text>
        <r>
          <rPr>
            <sz val="9"/>
            <color rgb="FF000000"/>
            <rFont val="Tahoma"/>
            <family val="2"/>
          </rPr>
          <t xml:space="preserve">1 Reservado
 2 Separado, 
3 Tramite, 
4 Aprobado, 
5 Peritazgo,
 6 Minuta, 
7 Notaria, 
8 Registro, 
9 Desembolso 
10 Entrega
</t>
        </r>
      </text>
    </comment>
  </commentList>
</comments>
</file>

<file path=xl/sharedStrings.xml><?xml version="1.0" encoding="utf-8"?>
<sst xmlns="http://schemas.openxmlformats.org/spreadsheetml/2006/main" count="88" uniqueCount="71">
  <si>
    <t>TORRE</t>
  </si>
  <si>
    <t xml:space="preserve">APTO </t>
  </si>
  <si>
    <t>NOMBRE COMPLETO</t>
  </si>
  <si>
    <t>CELULAR</t>
  </si>
  <si>
    <t>E-MAIL</t>
  </si>
  <si>
    <t>DIRECCION</t>
  </si>
  <si>
    <t>CIUDAD</t>
  </si>
  <si>
    <t>R</t>
  </si>
  <si>
    <t>S</t>
  </si>
  <si>
    <t>T</t>
  </si>
  <si>
    <t>A</t>
  </si>
  <si>
    <t>P</t>
  </si>
  <si>
    <t>M</t>
  </si>
  <si>
    <t>N</t>
  </si>
  <si>
    <t>D</t>
  </si>
  <si>
    <t>E</t>
  </si>
  <si>
    <t>VALOR VENTA</t>
  </si>
  <si>
    <t>CRUCES</t>
  </si>
  <si>
    <t>TOTAL CANCELADO C.I</t>
  </si>
  <si>
    <t>SALDO CUOTA INICIAL</t>
  </si>
  <si>
    <t>Estado Subsidio</t>
  </si>
  <si>
    <t>VALOR SUBSIDIO</t>
  </si>
  <si>
    <t>ENTIDAD   CRÉDITO</t>
  </si>
  <si>
    <t>VALOR CRÉDITO</t>
  </si>
  <si>
    <t>DESEMBOLSO</t>
  </si>
  <si>
    <t>CIERRE FINANCIERO</t>
  </si>
  <si>
    <t>SALDO TOTAL APTO</t>
  </si>
  <si>
    <t>ENTREGA APTO</t>
  </si>
  <si>
    <t xml:space="preserve">OBSERVACIONES </t>
  </si>
  <si>
    <t>Duitama</t>
  </si>
  <si>
    <t>POR TRAMITAR</t>
  </si>
  <si>
    <t>FNA</t>
  </si>
  <si>
    <t>NO</t>
  </si>
  <si>
    <t>PTE</t>
  </si>
  <si>
    <t>DISPONIBILE</t>
  </si>
  <si>
    <t>RESERVADO</t>
  </si>
  <si>
    <t>SEPARADO</t>
  </si>
  <si>
    <t>TRAMITE</t>
  </si>
  <si>
    <t>PERITAZGO</t>
  </si>
  <si>
    <t>MINUTA</t>
  </si>
  <si>
    <t>NOTARIA</t>
  </si>
  <si>
    <t>REGISTRO</t>
  </si>
  <si>
    <t>ENTREGA</t>
  </si>
  <si>
    <t>TOTALE</t>
  </si>
  <si>
    <t>ESTADO</t>
  </si>
  <si>
    <t>COMFABOY</t>
  </si>
  <si>
    <t>DESCUENTO</t>
  </si>
  <si>
    <t># PROMESA</t>
  </si>
  <si>
    <t>$ CUOTA INICIAL</t>
  </si>
  <si>
    <t>ASESOR</t>
  </si>
  <si>
    <t>APPROBADO</t>
  </si>
  <si>
    <t>MARCELA</t>
  </si>
  <si>
    <t>TTC</t>
  </si>
  <si>
    <t>3153111159 - 3103293280</t>
  </si>
  <si>
    <t>1,000,000</t>
  </si>
  <si>
    <t>WENDY LORENA ENGATIVA ROSAS</t>
  </si>
  <si>
    <t>Nobsa</t>
  </si>
  <si>
    <t>Calle 5 No. 11 - 114</t>
  </si>
  <si>
    <t>wendlore@hotamil.com</t>
  </si>
  <si>
    <t>CONSIGNACIÓN FIDUCIA</t>
  </si>
  <si>
    <t>CCF</t>
  </si>
  <si>
    <t>JUAN CARLOS VARGAS CELY</t>
  </si>
  <si>
    <t>EDUARDH SANTIAGO URIAN CARDONA</t>
  </si>
  <si>
    <t>NOBSA</t>
  </si>
  <si>
    <t>santiagouriancardona@gmail.com</t>
  </si>
  <si>
    <t>calle 10a #14-35</t>
  </si>
  <si>
    <t>NA</t>
  </si>
  <si>
    <t>X</t>
  </si>
  <si>
    <t>JUAN DIEGO LOPEZ GOMEZ</t>
  </si>
  <si>
    <t>BOGOTA</t>
  </si>
  <si>
    <t>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</si>
</sst>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&quot;$&quot;\ #,##0"/>
    <numFmt numFmtId="166" formatCode="_-&quot;$&quot;\ * #,##0_-;\-&quot;$&quot;\ * #,##0_-;_-&quot;$&quot;\ * &quot;-&quot;??_-;_-@_-"/>
  </numFmts>
  <fonts count="16">
    <font>
      <sz val="11"/>
      <color rgb="FF000000"/>
      <name val="Calibri"/>
      <charset val="134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Tahoma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rgb="FF92D050"/>
      </patternFill>
    </fill>
    <fill>
      <patternFill patternType="solid">
        <fgColor rgb="FF00B050"/>
        <bgColor rgb="FF92D050"/>
      </patternFill>
    </fill>
    <fill>
      <patternFill patternType="solid">
        <fgColor theme="9" tint="0.79995117038483843"/>
        <bgColor rgb="FF92D050"/>
      </patternFill>
    </fill>
    <fill>
      <patternFill patternType="solid">
        <fgColor theme="7" tint="0.79995117038483843"/>
        <bgColor rgb="FF92D050"/>
      </patternFill>
    </fill>
    <fill>
      <patternFill patternType="solid">
        <fgColor theme="9" tint="0.59999389629810485"/>
        <bgColor rgb="FF92D050"/>
      </patternFill>
    </fill>
    <fill>
      <patternFill patternType="solid">
        <fgColor theme="9"/>
        <bgColor rgb="FF92D05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FF040"/>
        <bgColor rgb="FF92D050"/>
      </patternFill>
    </fill>
    <fill>
      <patternFill patternType="solid">
        <fgColor theme="5" tint="0.39994506668294322"/>
        <bgColor rgb="FF92D050"/>
      </patternFill>
    </fill>
    <fill>
      <patternFill patternType="solid">
        <fgColor rgb="FFB3DE52"/>
        <bgColor rgb="FF92D050"/>
      </patternFill>
    </fill>
    <fill>
      <patternFill patternType="solid">
        <fgColor rgb="FFECF0CA"/>
        <bgColor rgb="FF92D050"/>
      </patternFill>
    </fill>
    <fill>
      <patternFill patternType="solid">
        <fgColor theme="0" tint="-0.14996795556505021"/>
        <bgColor rgb="FF92D050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39994506668294322"/>
        <bgColor rgb="FF92D050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10" fillId="0" borderId="0"/>
    <xf numFmtId="0" fontId="10" fillId="0" borderId="0"/>
    <xf numFmtId="0" fontId="2" fillId="0" borderId="0"/>
  </cellStyleXfs>
  <cellXfs count="105"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0" fillId="0" borderId="0" xfId="8"/>
    <xf numFmtId="0" fontId="10" fillId="0" borderId="0" xfId="8" applyAlignment="1">
      <alignment horizontal="center"/>
    </xf>
    <xf numFmtId="17" fontId="10" fillId="0" borderId="0" xfId="8" applyNumberFormat="1" applyAlignment="1">
      <alignment horizontal="center"/>
    </xf>
    <xf numFmtId="0" fontId="10" fillId="0" borderId="1" xfId="8" applyBorder="1" applyAlignment="1">
      <alignment horizontal="center"/>
    </xf>
    <xf numFmtId="0" fontId="0" fillId="0" borderId="1" xfId="0" applyBorder="1" applyAlignment="1">
      <alignment horizontal="center"/>
    </xf>
    <xf numFmtId="17" fontId="11" fillId="0" borderId="1" xfId="8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11" fillId="0" borderId="0" xfId="8" applyNumberFormat="1" applyFont="1" applyAlignment="1">
      <alignment horizontal="center"/>
    </xf>
    <xf numFmtId="0" fontId="1" fillId="0" borderId="0" xfId="8" applyFont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166" fontId="7" fillId="13" borderId="1" xfId="1" applyNumberFormat="1" applyFont="1" applyFill="1" applyBorder="1" applyAlignment="1">
      <alignment horizontal="center" vertical="center" wrapText="1"/>
    </xf>
    <xf numFmtId="164" fontId="7" fillId="14" borderId="1" xfId="2" applyFont="1" applyFill="1" applyBorder="1" applyAlignment="1">
      <alignment horizontal="center" vertical="center" wrapText="1"/>
    </xf>
    <xf numFmtId="164" fontId="7" fillId="14" borderId="1" xfId="2" applyFont="1" applyFill="1" applyBorder="1" applyAlignment="1">
      <alignment horizontal="center" wrapText="1"/>
    </xf>
    <xf numFmtId="164" fontId="7" fillId="5" borderId="1" xfId="2" applyFont="1" applyFill="1" applyBorder="1" applyAlignment="1">
      <alignment horizontal="center" vertical="center" wrapText="1"/>
    </xf>
    <xf numFmtId="164" fontId="6" fillId="4" borderId="1" xfId="2" applyFont="1" applyFill="1" applyBorder="1" applyAlignment="1">
      <alignment horizontal="center" vertical="center" wrapText="1"/>
    </xf>
    <xf numFmtId="0" fontId="7" fillId="15" borderId="1" xfId="0" applyFont="1" applyFill="1" applyBorder="1" applyAlignment="1">
      <alignment horizontal="center" vertical="center" wrapText="1"/>
    </xf>
    <xf numFmtId="42" fontId="7" fillId="15" borderId="1" xfId="1" applyNumberFormat="1" applyFont="1" applyFill="1" applyBorder="1" applyAlignment="1">
      <alignment horizontal="center" vertical="center" wrapText="1"/>
    </xf>
    <xf numFmtId="0" fontId="7" fillId="17" borderId="1" xfId="0" applyFont="1" applyFill="1" applyBorder="1" applyAlignment="1">
      <alignment horizontal="center" vertical="center" wrapText="1"/>
    </xf>
    <xf numFmtId="42" fontId="7" fillId="17" borderId="1" xfId="2" applyNumberFormat="1" applyFont="1" applyFill="1" applyBorder="1" applyAlignment="1">
      <alignment horizontal="center" vertical="center" wrapText="1"/>
    </xf>
    <xf numFmtId="165" fontId="7" fillId="2" borderId="1" xfId="0" applyNumberFormat="1" applyFont="1" applyFill="1" applyBorder="1" applyAlignment="1">
      <alignment horizontal="center" vertical="center" wrapText="1"/>
    </xf>
    <xf numFmtId="6" fontId="7" fillId="4" borderId="1" xfId="0" applyNumberFormat="1" applyFont="1" applyFill="1" applyBorder="1" applyAlignment="1">
      <alignment horizontal="center" vertical="center" wrapText="1"/>
    </xf>
    <xf numFmtId="6" fontId="7" fillId="3" borderId="1" xfId="0" applyNumberFormat="1" applyFont="1" applyFill="1" applyBorder="1" applyAlignment="1">
      <alignment horizontal="center" wrapText="1"/>
    </xf>
    <xf numFmtId="6" fontId="7" fillId="1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6" fontId="7" fillId="0" borderId="1" xfId="0" applyNumberFormat="1" applyFont="1" applyBorder="1" applyAlignment="1">
      <alignment horizontal="center" wrapText="1"/>
    </xf>
    <xf numFmtId="164" fontId="7" fillId="0" borderId="1" xfId="2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164" fontId="3" fillId="0" borderId="1" xfId="2" applyFont="1" applyBorder="1" applyAlignment="1"/>
    <xf numFmtId="0" fontId="3" fillId="16" borderId="1" xfId="0" applyFont="1" applyFill="1" applyBorder="1"/>
    <xf numFmtId="166" fontId="3" fillId="16" borderId="1" xfId="1" applyNumberFormat="1" applyFont="1" applyFill="1" applyBorder="1"/>
    <xf numFmtId="0" fontId="3" fillId="18" borderId="1" xfId="0" applyFont="1" applyFill="1" applyBorder="1"/>
    <xf numFmtId="166" fontId="3" fillId="18" borderId="1" xfId="1" applyNumberFormat="1" applyFont="1" applyFill="1" applyBorder="1"/>
    <xf numFmtId="0" fontId="3" fillId="18" borderId="1" xfId="0" applyFont="1" applyFill="1" applyBorder="1" applyAlignment="1">
      <alignment horizontal="center"/>
    </xf>
    <xf numFmtId="42" fontId="3" fillId="0" borderId="1" xfId="0" applyNumberFormat="1" applyFont="1" applyBorder="1"/>
    <xf numFmtId="9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1" xfId="2" applyFont="1" applyFill="1" applyBorder="1" applyAlignment="1">
      <alignment horizontal="center" vertical="center" wrapText="1"/>
    </xf>
    <xf numFmtId="164" fontId="3" fillId="0" borderId="1" xfId="2" applyFont="1" applyFill="1" applyBorder="1" applyAlignment="1">
      <alignment horizontal="center" wrapText="1"/>
    </xf>
    <xf numFmtId="164" fontId="15" fillId="0" borderId="1" xfId="2" applyFont="1" applyFill="1" applyBorder="1" applyAlignment="1">
      <alignment horizontal="center" vertical="center" wrapText="1"/>
    </xf>
    <xf numFmtId="166" fontId="3" fillId="0" borderId="1" xfId="1" applyNumberFormat="1" applyFont="1" applyBorder="1"/>
    <xf numFmtId="0" fontId="3" fillId="0" borderId="0" xfId="0" applyFont="1"/>
    <xf numFmtId="0" fontId="3" fillId="1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7" fillId="12" borderId="1" xfId="0" applyFont="1" applyFill="1" applyBorder="1" applyAlignment="1">
      <alignment horizontal="center" vertical="center"/>
    </xf>
    <xf numFmtId="164" fontId="3" fillId="0" borderId="1" xfId="2" applyFont="1" applyFill="1" applyBorder="1" applyAlignment="1"/>
    <xf numFmtId="164" fontId="3" fillId="0" borderId="1" xfId="5" applyFont="1" applyFill="1" applyBorder="1" applyAlignment="1"/>
    <xf numFmtId="0" fontId="14" fillId="0" borderId="1" xfId="3" applyFont="1" applyFill="1" applyBorder="1"/>
    <xf numFmtId="164" fontId="8" fillId="0" borderId="1" xfId="2" applyFont="1" applyFill="1" applyBorder="1" applyAlignment="1"/>
    <xf numFmtId="0" fontId="4" fillId="0" borderId="1" xfId="0" applyFont="1" applyBorder="1"/>
    <xf numFmtId="166" fontId="3" fillId="0" borderId="0" xfId="1" applyNumberFormat="1" applyFont="1"/>
    <xf numFmtId="42" fontId="3" fillId="0" borderId="0" xfId="1" applyNumberFormat="1" applyFont="1"/>
    <xf numFmtId="42" fontId="3" fillId="0" borderId="0" xfId="0" applyNumberFormat="1" applyFont="1"/>
    <xf numFmtId="0" fontId="3" fillId="2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14" fillId="0" borderId="1" xfId="3" applyFont="1" applyFill="1" applyBorder="1" applyAlignment="1">
      <alignment horizontal="center"/>
    </xf>
    <xf numFmtId="166" fontId="3" fillId="0" borderId="1" xfId="1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wrapText="1"/>
    </xf>
    <xf numFmtId="0" fontId="14" fillId="0" borderId="2" xfId="3" applyFont="1" applyBorder="1" applyAlignment="1">
      <alignment horizontal="center"/>
    </xf>
    <xf numFmtId="164" fontId="3" fillId="0" borderId="2" xfId="2" applyFont="1" applyBorder="1" applyAlignment="1"/>
    <xf numFmtId="164" fontId="3" fillId="0" borderId="2" xfId="2" applyFont="1" applyFill="1" applyBorder="1" applyAlignment="1">
      <alignment horizontal="center" vertical="center" wrapText="1"/>
    </xf>
    <xf numFmtId="164" fontId="3" fillId="0" borderId="2" xfId="2" applyFont="1" applyFill="1" applyBorder="1" applyAlignment="1">
      <alignment horizontal="center" wrapText="1"/>
    </xf>
    <xf numFmtId="164" fontId="7" fillId="0" borderId="2" xfId="2" applyFont="1" applyFill="1" applyBorder="1" applyAlignment="1">
      <alignment horizontal="center" vertical="center" wrapText="1"/>
    </xf>
    <xf numFmtId="0" fontId="3" fillId="16" borderId="2" xfId="0" applyFont="1" applyFill="1" applyBorder="1"/>
    <xf numFmtId="166" fontId="3" fillId="16" borderId="2" xfId="1" applyNumberFormat="1" applyFont="1" applyFill="1" applyBorder="1"/>
    <xf numFmtId="0" fontId="3" fillId="18" borderId="2" xfId="0" applyFont="1" applyFill="1" applyBorder="1"/>
    <xf numFmtId="166" fontId="3" fillId="18" borderId="2" xfId="1" applyNumberFormat="1" applyFont="1" applyFill="1" applyBorder="1"/>
    <xf numFmtId="0" fontId="3" fillId="18" borderId="2" xfId="0" applyFont="1" applyFill="1" applyBorder="1" applyAlignment="1">
      <alignment horizontal="center"/>
    </xf>
    <xf numFmtId="6" fontId="7" fillId="0" borderId="2" xfId="0" applyNumberFormat="1" applyFont="1" applyBorder="1" applyAlignment="1">
      <alignment horizontal="center" wrapText="1"/>
    </xf>
    <xf numFmtId="0" fontId="7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9" fillId="17" borderId="1" xfId="0" applyFont="1" applyFill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3" fontId="7" fillId="8" borderId="1" xfId="0" applyNumberFormat="1" applyFont="1" applyFill="1" applyBorder="1" applyAlignment="1">
      <alignment horizontal="center" vertical="center"/>
    </xf>
    <xf numFmtId="3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14" fillId="0" borderId="0" xfId="3" applyFont="1" applyFill="1" applyBorder="1" applyAlignment="1">
      <alignment horizontal="center"/>
    </xf>
    <xf numFmtId="0" fontId="14" fillId="0" borderId="1" xfId="3" applyFont="1" applyFill="1" applyBorder="1" applyAlignment="1">
      <alignment horizontal="center" vertical="center"/>
    </xf>
    <xf numFmtId="0" fontId="5" fillId="0" borderId="1" xfId="3" applyFill="1" applyBorder="1" applyAlignment="1">
      <alignment horizontal="center"/>
    </xf>
  </cellXfs>
  <cellStyles count="11">
    <cellStyle name="Hipervínculo" xfId="3" builtinId="8"/>
    <cellStyle name="Hipervínculo 2" xfId="4" xr:uid="{00000000-0005-0000-0000-000031000000}"/>
    <cellStyle name="Moneda" xfId="1" builtinId="4"/>
    <cellStyle name="Moneda [0]" xfId="2" builtinId="7"/>
    <cellStyle name="Moneda [0] 2" xfId="5" xr:uid="{00000000-0005-0000-0000-000032000000}"/>
    <cellStyle name="Normal" xfId="0" builtinId="0"/>
    <cellStyle name="Normal 2" xfId="6" xr:uid="{00000000-0005-0000-0000-000033000000}"/>
    <cellStyle name="Normal 2 2" xfId="7" xr:uid="{00000000-0005-0000-0000-000034000000}"/>
    <cellStyle name="Normal 3" xfId="8" xr:uid="{00000000-0005-0000-0000-000035000000}"/>
    <cellStyle name="Normal 3 2" xfId="9" xr:uid="{00000000-0005-0000-0000-000036000000}"/>
    <cellStyle name="Normal 4" xfId="10" xr:uid="{00000000-0005-0000-0000-000037000000}"/>
  </cellStyles>
  <dxfs count="0"/>
  <tableStyles count="0" defaultTableStyle="TableStyleMedium2" defaultPivotStyle="PivotStyleLight16"/>
  <colors>
    <mruColors>
      <color rgb="FFFF5050"/>
      <color rgb="FF99FF99"/>
      <color rgb="FF66FF66"/>
      <color rgb="FFFF66FF"/>
      <color rgb="FFFF9999"/>
      <color rgb="FF66FFFF"/>
      <color rgb="FFFF99FF"/>
      <color rgb="FFFFFF00"/>
      <color rgb="FFFF00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'CONTROLLO VENDITE TORRE 3'!$B$1:$B$2</c:f>
              <c:strCache>
                <c:ptCount val="2"/>
                <c:pt idx="0">
                  <c:v>DISPONIBILE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3'!$B$3:$B$15</c:f>
              <c:numCache>
                <c:formatCode>General</c:formatCode>
                <c:ptCount val="13"/>
                <c:pt idx="0">
                  <c:v>19</c:v>
                </c:pt>
                <c:pt idx="1">
                  <c:v>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6-4AC9-8028-47CF3AD77ED2}"/>
            </c:ext>
          </c:extLst>
        </c:ser>
        <c:ser>
          <c:idx val="1"/>
          <c:order val="1"/>
          <c:tx>
            <c:strRef>
              <c:f>'CONTROLLO VENDITE TORRE 3'!$C$1:$C$2</c:f>
              <c:strCache>
                <c:ptCount val="2"/>
                <c:pt idx="0">
                  <c:v>RESERVADO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3'!$C$3:$C$15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F6-4AC9-8028-47CF3AD77ED2}"/>
            </c:ext>
          </c:extLst>
        </c:ser>
        <c:ser>
          <c:idx val="2"/>
          <c:order val="2"/>
          <c:tx>
            <c:strRef>
              <c:f>'CONTROLLO VENDITE TORRE 3'!$D$1:$D$2</c:f>
              <c:strCache>
                <c:ptCount val="2"/>
                <c:pt idx="0">
                  <c:v>SEPARADO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3'!$D$3:$D$15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F6-4AC9-8028-47CF3AD77ED2}"/>
            </c:ext>
          </c:extLst>
        </c:ser>
        <c:ser>
          <c:idx val="3"/>
          <c:order val="3"/>
          <c:tx>
            <c:strRef>
              <c:f>'CONTROLLO VENDITE TORRE 3'!$E$1:$E$2</c:f>
              <c:strCache>
                <c:ptCount val="2"/>
                <c:pt idx="0">
                  <c:v>TRAMITE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3'!$E$3:$E$15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F6-4AC9-8028-47CF3AD77ED2}"/>
            </c:ext>
          </c:extLst>
        </c:ser>
        <c:ser>
          <c:idx val="4"/>
          <c:order val="4"/>
          <c:tx>
            <c:strRef>
              <c:f>'CONTROLLO VENDITE TORRE 3'!$F$1:$F$2</c:f>
              <c:strCache>
                <c:ptCount val="2"/>
                <c:pt idx="0">
                  <c:v>APPROBADO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3'!$F$3:$F$15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6F6-4AC9-8028-47CF3AD77ED2}"/>
            </c:ext>
          </c:extLst>
        </c:ser>
        <c:ser>
          <c:idx val="5"/>
          <c:order val="5"/>
          <c:tx>
            <c:strRef>
              <c:f>'CONTROLLO VENDITE TORRE 3'!$G$1:$G$2</c:f>
              <c:strCache>
                <c:ptCount val="2"/>
                <c:pt idx="0">
                  <c:v>PERITAZGO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3'!$G$3:$G$15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6F6-4AC9-8028-47CF3AD77ED2}"/>
            </c:ext>
          </c:extLst>
        </c:ser>
        <c:ser>
          <c:idx val="6"/>
          <c:order val="6"/>
          <c:tx>
            <c:strRef>
              <c:f>'CONTROLLO VENDITE TORRE 3'!$H$1:$H$2</c:f>
              <c:strCache>
                <c:ptCount val="2"/>
                <c:pt idx="0">
                  <c:v>MINUTA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3'!$H$3:$H$15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6F6-4AC9-8028-47CF3AD77ED2}"/>
            </c:ext>
          </c:extLst>
        </c:ser>
        <c:ser>
          <c:idx val="7"/>
          <c:order val="7"/>
          <c:tx>
            <c:strRef>
              <c:f>'CONTROLLO VENDITE TORRE 3'!$I$1:$I$2</c:f>
              <c:strCache>
                <c:ptCount val="2"/>
                <c:pt idx="0">
                  <c:v>NOTARIA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3'!$I$3:$I$15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6F6-4AC9-8028-47CF3AD77ED2}"/>
            </c:ext>
          </c:extLst>
        </c:ser>
        <c:ser>
          <c:idx val="8"/>
          <c:order val="8"/>
          <c:tx>
            <c:strRef>
              <c:f>'CONTROLLO VENDITE TORRE 3'!$J$1:$J$2</c:f>
              <c:strCache>
                <c:ptCount val="2"/>
                <c:pt idx="0">
                  <c:v>REGISTRO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3'!$J$3:$J$15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6F6-4AC9-8028-47CF3AD77ED2}"/>
            </c:ext>
          </c:extLst>
        </c:ser>
        <c:ser>
          <c:idx val="9"/>
          <c:order val="9"/>
          <c:tx>
            <c:strRef>
              <c:f>'CONTROLLO VENDITE TORRE 3'!$K$1:$K$2</c:f>
              <c:strCache>
                <c:ptCount val="2"/>
                <c:pt idx="0">
                  <c:v>DESEMBOLSO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3'!$K$3:$K$15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6F6-4AC9-8028-47CF3AD77ED2}"/>
            </c:ext>
          </c:extLst>
        </c:ser>
        <c:ser>
          <c:idx val="10"/>
          <c:order val="10"/>
          <c:tx>
            <c:strRef>
              <c:f>'CONTROLLO VENDITE TORRE 3'!$L$1:$L$2</c:f>
              <c:strCache>
                <c:ptCount val="2"/>
                <c:pt idx="0">
                  <c:v>ENTREGA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numRef>
              <c:f>'CONTROLLO VENDITE TORRE 3'!$A$3:$A$15</c:f>
              <c:numCache>
                <c:formatCode>mmm\-yy</c:formatCode>
                <c:ptCount val="13"/>
                <c:pt idx="0">
                  <c:v>45992</c:v>
                </c:pt>
                <c:pt idx="1">
                  <c:v>46023</c:v>
                </c:pt>
                <c:pt idx="2">
                  <c:v>46054</c:v>
                </c:pt>
                <c:pt idx="3">
                  <c:v>46082</c:v>
                </c:pt>
                <c:pt idx="4">
                  <c:v>46113</c:v>
                </c:pt>
                <c:pt idx="5">
                  <c:v>46143</c:v>
                </c:pt>
                <c:pt idx="6">
                  <c:v>46174</c:v>
                </c:pt>
                <c:pt idx="7">
                  <c:v>46204</c:v>
                </c:pt>
                <c:pt idx="8">
                  <c:v>46235</c:v>
                </c:pt>
                <c:pt idx="9">
                  <c:v>46266</c:v>
                </c:pt>
                <c:pt idx="10">
                  <c:v>46296</c:v>
                </c:pt>
                <c:pt idx="11">
                  <c:v>46327</c:v>
                </c:pt>
                <c:pt idx="12">
                  <c:v>46357</c:v>
                </c:pt>
              </c:numCache>
            </c:numRef>
          </c:cat>
          <c:val>
            <c:numRef>
              <c:f>'CONTROLLO VENDITE TORRE 3'!$L$3:$L$15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6F6-4AC9-8028-47CF3AD77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20080960"/>
        <c:axId val="620074072"/>
        <c:axId val="0"/>
      </c:bar3DChart>
      <c:dateAx>
        <c:axId val="620080960"/>
        <c:scaling>
          <c:orientation val="minMax"/>
        </c:scaling>
        <c:delete val="0"/>
        <c:axPos val="l"/>
        <c:numFmt formatCode="mmm\-yy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074072"/>
        <c:crosses val="autoZero"/>
        <c:auto val="1"/>
        <c:lblOffset val="100"/>
        <c:baseTimeUnit val="months"/>
      </c:dateAx>
      <c:valAx>
        <c:axId val="620074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200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1178719</xdr:colOff>
      <xdr:row>16</xdr:row>
      <xdr:rowOff>134540</xdr:rowOff>
    </xdr:from>
    <xdr:to>
      <xdr:col>13</xdr:col>
      <xdr:colOff>511970</xdr:colOff>
      <xdr:row>49</xdr:row>
      <xdr:rowOff>11906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F7952851-3B5A-43A3-A524-8F0FDCC4F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ntiagouriancardona@gmail.com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1"/>
  <sheetViews>
    <sheetView tabSelected="1" zoomScale="80" zoomScaleNormal="80" workbookViewId="0">
      <pane xSplit="4" ySplit="1" topLeftCell="X2" activePane="bottomRight" state="frozen"/>
      <selection pane="topRight"/>
      <selection pane="bottomLeft"/>
      <selection pane="bottomRight" activeCell="D4" sqref="D4"/>
    </sheetView>
  </sheetViews>
  <sheetFormatPr baseColWidth="10" defaultColWidth="11" defaultRowHeight="15" customHeight="1"/>
  <cols>
    <col min="1" max="1" width="9" style="56" customWidth="1"/>
    <col min="2" max="2" width="7.28515625" style="56" customWidth="1"/>
    <col min="3" max="3" width="42.42578125" style="54" customWidth="1"/>
    <col min="4" max="4" width="16.7109375" style="100" customWidth="1"/>
    <col min="5" max="5" width="27" style="56" customWidth="1"/>
    <col min="6" max="6" width="38" style="56" customWidth="1"/>
    <col min="7" max="7" width="24.7109375" style="54" customWidth="1"/>
    <col min="8" max="8" width="12.7109375" style="56" customWidth="1"/>
    <col min="9" max="9" width="18.140625" style="56" customWidth="1"/>
    <col min="10" max="10" width="11.85546875" style="54" customWidth="1"/>
    <col min="11" max="12" width="4.42578125" style="54" customWidth="1"/>
    <col min="13" max="13" width="4.28515625" style="54" customWidth="1"/>
    <col min="14" max="16" width="4.42578125" style="54" customWidth="1"/>
    <col min="17" max="17" width="4.42578125" style="56" customWidth="1"/>
    <col min="18" max="19" width="4.42578125" style="54" customWidth="1"/>
    <col min="20" max="21" width="4.42578125" style="56" customWidth="1"/>
    <col min="22" max="22" width="13.85546875" style="56" customWidth="1"/>
    <col min="23" max="23" width="15" style="63" customWidth="1"/>
    <col min="24" max="24" width="14.42578125" style="54" customWidth="1"/>
    <col min="25" max="25" width="15.28515625" style="54" customWidth="1"/>
    <col min="26" max="26" width="13.7109375" style="54" customWidth="1"/>
    <col min="27" max="27" width="14.7109375" style="54" customWidth="1"/>
    <col min="28" max="28" width="14.28515625" style="54" customWidth="1"/>
    <col min="29" max="29" width="12.140625" style="54" customWidth="1"/>
    <col min="30" max="30" width="15.140625" style="64" customWidth="1"/>
    <col min="31" max="31" width="14.28515625" style="54" customWidth="1"/>
    <col min="32" max="32" width="17.85546875" style="54" customWidth="1"/>
    <col min="33" max="33" width="15.28515625" style="65" customWidth="1"/>
    <col min="34" max="34" width="12.42578125" style="56" customWidth="1"/>
    <col min="35" max="35" width="16.7109375" style="54" customWidth="1"/>
    <col min="36" max="36" width="17.28515625" style="54" customWidth="1"/>
    <col min="37" max="37" width="11" style="54"/>
    <col min="38" max="38" width="12.28515625" style="40" customWidth="1"/>
    <col min="39" max="39" width="118.5703125" style="54" customWidth="1"/>
    <col min="40" max="16384" width="11" style="54"/>
  </cols>
  <sheetData>
    <row r="1" spans="1:39" ht="48.75" customHeight="1">
      <c r="A1" s="15" t="s">
        <v>0</v>
      </c>
      <c r="B1" s="15" t="s">
        <v>1</v>
      </c>
      <c r="C1" s="16" t="s">
        <v>2</v>
      </c>
      <c r="D1" s="95" t="s">
        <v>70</v>
      </c>
      <c r="E1" s="17" t="s">
        <v>3</v>
      </c>
      <c r="F1" s="17" t="s">
        <v>4</v>
      </c>
      <c r="G1" s="17" t="s">
        <v>5</v>
      </c>
      <c r="H1" s="18" t="s">
        <v>6</v>
      </c>
      <c r="I1" s="19" t="s">
        <v>46</v>
      </c>
      <c r="J1" s="20" t="s">
        <v>44</v>
      </c>
      <c r="K1" s="57" t="s">
        <v>14</v>
      </c>
      <c r="L1" s="57" t="s">
        <v>7</v>
      </c>
      <c r="M1" s="57" t="s">
        <v>8</v>
      </c>
      <c r="N1" s="57" t="s">
        <v>9</v>
      </c>
      <c r="O1" s="57" t="s">
        <v>10</v>
      </c>
      <c r="P1" s="57" t="s">
        <v>11</v>
      </c>
      <c r="Q1" s="57" t="s">
        <v>12</v>
      </c>
      <c r="R1" s="57" t="s">
        <v>13</v>
      </c>
      <c r="S1" s="57" t="s">
        <v>7</v>
      </c>
      <c r="T1" s="57" t="s">
        <v>14</v>
      </c>
      <c r="U1" s="57" t="s">
        <v>15</v>
      </c>
      <c r="V1" s="21" t="s">
        <v>47</v>
      </c>
      <c r="W1" s="22" t="s">
        <v>16</v>
      </c>
      <c r="X1" s="23" t="s">
        <v>48</v>
      </c>
      <c r="Y1" s="24" t="s">
        <v>59</v>
      </c>
      <c r="Z1" s="23" t="s">
        <v>17</v>
      </c>
      <c r="AA1" s="25" t="s">
        <v>18</v>
      </c>
      <c r="AB1" s="26" t="s">
        <v>19</v>
      </c>
      <c r="AC1" s="27" t="s">
        <v>60</v>
      </c>
      <c r="AD1" s="28" t="s">
        <v>21</v>
      </c>
      <c r="AE1" s="27" t="s">
        <v>20</v>
      </c>
      <c r="AF1" s="29" t="s">
        <v>22</v>
      </c>
      <c r="AG1" s="30" t="s">
        <v>23</v>
      </c>
      <c r="AH1" s="93" t="s">
        <v>24</v>
      </c>
      <c r="AI1" s="31" t="s">
        <v>25</v>
      </c>
      <c r="AJ1" s="32" t="s">
        <v>26</v>
      </c>
      <c r="AK1" s="33" t="s">
        <v>27</v>
      </c>
      <c r="AL1" s="34" t="s">
        <v>49</v>
      </c>
      <c r="AM1" s="35" t="s">
        <v>28</v>
      </c>
    </row>
    <row r="2" spans="1:39" ht="15" customHeight="1">
      <c r="A2" s="55">
        <v>3</v>
      </c>
      <c r="B2" s="66">
        <v>101</v>
      </c>
      <c r="C2" s="62" t="s">
        <v>55</v>
      </c>
      <c r="D2" s="96">
        <v>1053587617</v>
      </c>
      <c r="E2" s="39">
        <v>3132979701</v>
      </c>
      <c r="F2" s="101" t="s">
        <v>58</v>
      </c>
      <c r="G2" s="39" t="s">
        <v>57</v>
      </c>
      <c r="H2" s="39" t="s">
        <v>56</v>
      </c>
      <c r="I2" s="39" t="s">
        <v>54</v>
      </c>
      <c r="J2" s="39" t="s">
        <v>36</v>
      </c>
      <c r="K2" s="39"/>
      <c r="L2" s="39"/>
      <c r="M2" s="39" t="s">
        <v>8</v>
      </c>
      <c r="N2" s="39"/>
      <c r="O2" s="39"/>
      <c r="P2" s="39"/>
      <c r="Q2" s="39"/>
      <c r="R2" s="39"/>
      <c r="S2" s="39"/>
      <c r="T2" s="39"/>
      <c r="U2" s="39"/>
      <c r="V2" s="39"/>
      <c r="W2" s="41">
        <v>191000000</v>
      </c>
      <c r="X2" s="50">
        <v>38200000</v>
      </c>
      <c r="Y2" s="51">
        <v>10000000</v>
      </c>
      <c r="Z2" s="37"/>
      <c r="AA2" s="50">
        <f t="shared" ref="AA2:AA21" si="0">+Y2+Z2</f>
        <v>10000000</v>
      </c>
      <c r="AB2" s="52">
        <f>+X2-AA2</f>
        <v>28200000</v>
      </c>
      <c r="AC2" s="42" t="s">
        <v>45</v>
      </c>
      <c r="AD2" s="43">
        <v>52527150</v>
      </c>
      <c r="AE2" s="42" t="s">
        <v>30</v>
      </c>
      <c r="AF2" s="44" t="s">
        <v>31</v>
      </c>
      <c r="AG2" s="45">
        <v>100272850</v>
      </c>
      <c r="AH2" s="46" t="s">
        <v>32</v>
      </c>
      <c r="AI2" s="47">
        <f>X2+AD2+AG2</f>
        <v>191000000</v>
      </c>
      <c r="AJ2" s="94">
        <f>W2-AA2</f>
        <v>181000000</v>
      </c>
      <c r="AK2" s="36"/>
      <c r="AL2" s="36" t="s">
        <v>51</v>
      </c>
      <c r="AM2" s="70"/>
    </row>
    <row r="3" spans="1:39" ht="15" customHeight="1">
      <c r="A3" s="55">
        <v>3</v>
      </c>
      <c r="B3" s="55">
        <v>102</v>
      </c>
      <c r="C3" s="62" t="s">
        <v>61</v>
      </c>
      <c r="D3" s="96"/>
      <c r="E3" s="39" t="s">
        <v>53</v>
      </c>
      <c r="F3" s="102"/>
      <c r="G3" s="1"/>
      <c r="H3" s="39" t="s">
        <v>29</v>
      </c>
      <c r="I3" s="48"/>
      <c r="J3" s="1" t="s">
        <v>36</v>
      </c>
      <c r="K3" s="38"/>
      <c r="L3" s="38"/>
      <c r="M3" s="39" t="s">
        <v>8</v>
      </c>
      <c r="N3" s="1"/>
      <c r="O3" s="1"/>
      <c r="P3" s="1"/>
      <c r="Q3" s="39"/>
      <c r="R3" s="1"/>
      <c r="S3" s="1"/>
      <c r="T3" s="39"/>
      <c r="U3" s="39"/>
      <c r="V3" s="39"/>
      <c r="W3" s="53">
        <v>200000000</v>
      </c>
      <c r="X3" s="41">
        <v>0</v>
      </c>
      <c r="Y3" s="41">
        <v>0</v>
      </c>
      <c r="Z3" s="41">
        <v>0</v>
      </c>
      <c r="AA3" s="50">
        <f t="shared" si="0"/>
        <v>0</v>
      </c>
      <c r="AB3" s="52">
        <f t="shared" ref="AB3:AB21" si="1">+X3-AA3</f>
        <v>0</v>
      </c>
      <c r="AC3" s="42" t="s">
        <v>66</v>
      </c>
      <c r="AD3" s="43">
        <v>0</v>
      </c>
      <c r="AE3" s="42" t="s">
        <v>66</v>
      </c>
      <c r="AF3" s="44" t="s">
        <v>33</v>
      </c>
      <c r="AG3" s="45">
        <v>0</v>
      </c>
      <c r="AH3" s="46" t="s">
        <v>32</v>
      </c>
      <c r="AI3" s="47">
        <f t="shared" ref="AI3:AI21" si="2">X3+AD3+AG3</f>
        <v>0</v>
      </c>
      <c r="AJ3" s="94">
        <f t="shared" ref="AJ3:AJ21" si="3">W3-AA3</f>
        <v>200000000</v>
      </c>
      <c r="AK3" s="1"/>
      <c r="AL3" s="38" t="s">
        <v>52</v>
      </c>
      <c r="AM3" s="38"/>
    </row>
    <row r="4" spans="1:39" ht="15" customHeight="1">
      <c r="A4" s="55">
        <v>3</v>
      </c>
      <c r="B4" s="55">
        <v>103</v>
      </c>
      <c r="C4" s="76" t="s">
        <v>68</v>
      </c>
      <c r="D4" s="97"/>
      <c r="E4" s="92"/>
      <c r="F4" s="77"/>
      <c r="G4" s="49"/>
      <c r="H4" s="56" t="s">
        <v>69</v>
      </c>
      <c r="I4" s="49"/>
      <c r="J4" s="49" t="s">
        <v>35</v>
      </c>
      <c r="K4" s="49"/>
      <c r="L4" s="49" t="s">
        <v>67</v>
      </c>
      <c r="M4" s="49"/>
      <c r="N4" s="49"/>
      <c r="O4" s="49"/>
      <c r="P4" s="49"/>
      <c r="Q4" s="49"/>
      <c r="R4" s="49"/>
      <c r="S4" s="49"/>
      <c r="T4" s="49"/>
      <c r="U4" s="49"/>
      <c r="V4" s="49"/>
      <c r="W4" s="78"/>
      <c r="X4" s="79"/>
      <c r="Y4" s="80"/>
      <c r="Z4" s="81"/>
      <c r="AA4" s="50">
        <f t="shared" si="0"/>
        <v>0</v>
      </c>
      <c r="AB4" s="52">
        <f t="shared" si="1"/>
        <v>0</v>
      </c>
      <c r="AC4" s="82"/>
      <c r="AD4" s="83"/>
      <c r="AE4" s="82"/>
      <c r="AF4" s="84"/>
      <c r="AG4" s="85"/>
      <c r="AH4" s="86"/>
      <c r="AI4" s="47">
        <f t="shared" si="2"/>
        <v>0</v>
      </c>
      <c r="AJ4" s="94">
        <f t="shared" si="3"/>
        <v>0</v>
      </c>
      <c r="AK4" s="87"/>
      <c r="AL4" s="87"/>
      <c r="AM4" s="88"/>
    </row>
    <row r="5" spans="1:39" ht="15" customHeight="1">
      <c r="A5" s="55">
        <v>3</v>
      </c>
      <c r="B5" s="55">
        <v>104</v>
      </c>
      <c r="C5" s="67"/>
      <c r="D5" s="96"/>
      <c r="E5" s="39"/>
      <c r="F5" s="68"/>
      <c r="G5" s="39"/>
      <c r="H5" s="39"/>
      <c r="I5" s="39"/>
      <c r="J5" s="38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58"/>
      <c r="X5" s="50"/>
      <c r="Y5" s="51"/>
      <c r="Z5" s="37"/>
      <c r="AA5" s="50">
        <f t="shared" si="0"/>
        <v>0</v>
      </c>
      <c r="AB5" s="52">
        <f t="shared" si="1"/>
        <v>0</v>
      </c>
      <c r="AC5" s="82"/>
      <c r="AD5" s="83"/>
      <c r="AE5" s="82"/>
      <c r="AF5" s="84"/>
      <c r="AG5" s="85"/>
      <c r="AH5" s="86"/>
      <c r="AI5" s="47">
        <f t="shared" si="2"/>
        <v>0</v>
      </c>
      <c r="AJ5" s="94">
        <f t="shared" si="3"/>
        <v>0</v>
      </c>
      <c r="AK5" s="36"/>
      <c r="AL5" s="36"/>
      <c r="AM5" s="70"/>
    </row>
    <row r="6" spans="1:39" ht="15" customHeight="1">
      <c r="A6" s="55">
        <v>7</v>
      </c>
      <c r="B6" s="55">
        <v>201</v>
      </c>
      <c r="C6" s="71"/>
      <c r="D6" s="96"/>
      <c r="E6" s="39"/>
      <c r="F6" s="68"/>
      <c r="G6" s="1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58"/>
      <c r="X6" s="58"/>
      <c r="Y6" s="59"/>
      <c r="Z6" s="37"/>
      <c r="AA6" s="50">
        <f t="shared" si="0"/>
        <v>0</v>
      </c>
      <c r="AB6" s="52">
        <f t="shared" si="1"/>
        <v>0</v>
      </c>
      <c r="AC6" s="82"/>
      <c r="AD6" s="83"/>
      <c r="AE6" s="82"/>
      <c r="AF6" s="84"/>
      <c r="AG6" s="85"/>
      <c r="AH6" s="86"/>
      <c r="AI6" s="47">
        <f t="shared" si="2"/>
        <v>0</v>
      </c>
      <c r="AJ6" s="94">
        <f t="shared" si="3"/>
        <v>0</v>
      </c>
      <c r="AK6" s="36"/>
      <c r="AL6" s="36"/>
      <c r="AM6" s="70"/>
    </row>
    <row r="7" spans="1:39" ht="15" customHeight="1">
      <c r="A7" s="55">
        <v>3</v>
      </c>
      <c r="B7" s="55">
        <v>202</v>
      </c>
      <c r="C7" s="72" t="s">
        <v>62</v>
      </c>
      <c r="D7" s="96">
        <v>1002537377</v>
      </c>
      <c r="E7" s="39">
        <v>3212618301</v>
      </c>
      <c r="F7" s="104" t="s">
        <v>64</v>
      </c>
      <c r="G7" s="1" t="s">
        <v>65</v>
      </c>
      <c r="H7" s="39" t="s">
        <v>63</v>
      </c>
      <c r="I7" s="39"/>
      <c r="J7" s="39" t="s">
        <v>36</v>
      </c>
      <c r="K7" s="39"/>
      <c r="L7" s="39"/>
      <c r="M7" s="39" t="s">
        <v>8</v>
      </c>
      <c r="N7" s="39"/>
      <c r="O7" s="39"/>
      <c r="P7" s="39"/>
      <c r="Q7" s="39"/>
      <c r="R7" s="39"/>
      <c r="S7" s="39"/>
      <c r="T7" s="39"/>
      <c r="U7" s="39"/>
      <c r="V7" s="39"/>
      <c r="W7" s="58">
        <v>185000000</v>
      </c>
      <c r="X7" s="58">
        <v>18500000</v>
      </c>
      <c r="Y7" s="59">
        <f>5000000+1000000</f>
        <v>6000000</v>
      </c>
      <c r="Z7" s="37"/>
      <c r="AA7" s="50">
        <f t="shared" si="0"/>
        <v>6000000</v>
      </c>
      <c r="AB7" s="52">
        <f t="shared" si="1"/>
        <v>12500000</v>
      </c>
      <c r="AC7" s="82" t="s">
        <v>45</v>
      </c>
      <c r="AD7" s="83">
        <v>52527150</v>
      </c>
      <c r="AE7" s="82" t="s">
        <v>30</v>
      </c>
      <c r="AF7" s="84" t="s">
        <v>31</v>
      </c>
      <c r="AG7" s="85">
        <v>113972850</v>
      </c>
      <c r="AH7" s="86" t="s">
        <v>32</v>
      </c>
      <c r="AI7" s="47">
        <f t="shared" si="2"/>
        <v>185000000</v>
      </c>
      <c r="AJ7" s="94">
        <f>W7-AA7</f>
        <v>179000000</v>
      </c>
      <c r="AK7" s="36"/>
      <c r="AL7" s="36" t="s">
        <v>51</v>
      </c>
      <c r="AM7" s="70"/>
    </row>
    <row r="8" spans="1:39" ht="15" customHeight="1">
      <c r="A8" s="55">
        <v>3</v>
      </c>
      <c r="B8" s="55">
        <v>203</v>
      </c>
      <c r="C8" s="1"/>
      <c r="D8" s="96"/>
      <c r="E8" s="39"/>
      <c r="F8" s="68"/>
      <c r="G8" s="1"/>
      <c r="H8" s="39"/>
      <c r="I8" s="39"/>
      <c r="J8" s="1"/>
      <c r="K8" s="1"/>
      <c r="L8" s="1"/>
      <c r="M8" s="39"/>
      <c r="N8" s="39"/>
      <c r="O8" s="39"/>
      <c r="P8" s="39"/>
      <c r="Q8" s="39"/>
      <c r="R8" s="39"/>
      <c r="S8" s="1"/>
      <c r="T8" s="39"/>
      <c r="U8" s="39"/>
      <c r="V8" s="39"/>
      <c r="W8" s="69"/>
      <c r="X8" s="58"/>
      <c r="Y8" s="58"/>
      <c r="Z8" s="58"/>
      <c r="AA8" s="50">
        <f t="shared" si="0"/>
        <v>0</v>
      </c>
      <c r="AB8" s="52">
        <f t="shared" si="1"/>
        <v>0</v>
      </c>
      <c r="AC8" s="82"/>
      <c r="AD8" s="83"/>
      <c r="AE8" s="82"/>
      <c r="AF8" s="84"/>
      <c r="AG8" s="85"/>
      <c r="AH8" s="86"/>
      <c r="AI8" s="47">
        <f t="shared" si="2"/>
        <v>0</v>
      </c>
      <c r="AJ8" s="94">
        <f t="shared" si="3"/>
        <v>0</v>
      </c>
      <c r="AK8" s="1"/>
      <c r="AL8" s="38"/>
      <c r="AM8" s="70"/>
    </row>
    <row r="9" spans="1:39" ht="15" customHeight="1">
      <c r="A9" s="55">
        <v>3</v>
      </c>
      <c r="B9" s="55">
        <v>204</v>
      </c>
      <c r="C9" s="1"/>
      <c r="D9" s="96"/>
      <c r="E9" s="39"/>
      <c r="F9" s="68"/>
      <c r="G9" s="60"/>
      <c r="H9" s="39"/>
      <c r="I9" s="48"/>
      <c r="J9" s="1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58"/>
      <c r="X9" s="58"/>
      <c r="Y9" s="59"/>
      <c r="Z9" s="37"/>
      <c r="AA9" s="50">
        <f t="shared" si="0"/>
        <v>0</v>
      </c>
      <c r="AB9" s="52">
        <f t="shared" si="1"/>
        <v>0</v>
      </c>
      <c r="AC9" s="82"/>
      <c r="AD9" s="83"/>
      <c r="AE9" s="82"/>
      <c r="AF9" s="84"/>
      <c r="AG9" s="85"/>
      <c r="AH9" s="86"/>
      <c r="AI9" s="47">
        <f t="shared" si="2"/>
        <v>0</v>
      </c>
      <c r="AJ9" s="94">
        <f t="shared" si="3"/>
        <v>0</v>
      </c>
      <c r="AK9" s="36"/>
      <c r="AL9" s="36"/>
      <c r="AM9" s="70"/>
    </row>
    <row r="10" spans="1:39" ht="15" customHeight="1">
      <c r="A10" s="55">
        <v>3</v>
      </c>
      <c r="B10" s="55">
        <v>301</v>
      </c>
      <c r="C10" s="73"/>
      <c r="D10" s="98"/>
      <c r="E10" s="89"/>
      <c r="F10" s="103"/>
      <c r="G10" s="74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61"/>
      <c r="X10" s="58"/>
      <c r="Y10" s="58"/>
      <c r="Z10" s="37"/>
      <c r="AA10" s="50">
        <f t="shared" si="0"/>
        <v>0</v>
      </c>
      <c r="AB10" s="52">
        <f t="shared" si="1"/>
        <v>0</v>
      </c>
      <c r="AC10" s="82"/>
      <c r="AD10" s="83"/>
      <c r="AE10" s="82"/>
      <c r="AF10" s="84"/>
      <c r="AG10" s="85"/>
      <c r="AH10" s="86"/>
      <c r="AI10" s="47">
        <f t="shared" si="2"/>
        <v>0</v>
      </c>
      <c r="AJ10" s="94">
        <f t="shared" si="3"/>
        <v>0</v>
      </c>
      <c r="AK10" s="36"/>
      <c r="AL10" s="36"/>
      <c r="AM10" s="70"/>
    </row>
    <row r="11" spans="1:39" ht="15" customHeight="1">
      <c r="A11" s="55">
        <v>3</v>
      </c>
      <c r="B11" s="55">
        <v>302</v>
      </c>
      <c r="C11" s="73"/>
      <c r="D11" s="96"/>
      <c r="E11" s="90"/>
      <c r="F11" s="68"/>
      <c r="G11" s="1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58"/>
      <c r="X11" s="58"/>
      <c r="Y11" s="59"/>
      <c r="Z11" s="37"/>
      <c r="AA11" s="50">
        <f t="shared" si="0"/>
        <v>0</v>
      </c>
      <c r="AB11" s="52">
        <f t="shared" si="1"/>
        <v>0</v>
      </c>
      <c r="AC11" s="82"/>
      <c r="AD11" s="83"/>
      <c r="AE11" s="82"/>
      <c r="AF11" s="84"/>
      <c r="AG11" s="85"/>
      <c r="AH11" s="86"/>
      <c r="AI11" s="47">
        <f t="shared" si="2"/>
        <v>0</v>
      </c>
      <c r="AJ11" s="94">
        <f t="shared" si="3"/>
        <v>0</v>
      </c>
      <c r="AK11" s="36"/>
      <c r="AL11" s="36"/>
      <c r="AM11" s="70"/>
    </row>
    <row r="12" spans="1:39" ht="15" customHeight="1">
      <c r="A12" s="55">
        <v>3</v>
      </c>
      <c r="B12" s="55">
        <v>303</v>
      </c>
      <c r="C12" s="75"/>
      <c r="D12" s="99"/>
      <c r="E12" s="91"/>
      <c r="F12" s="68"/>
      <c r="G12" s="74"/>
      <c r="H12" s="39"/>
      <c r="I12" s="48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58"/>
      <c r="X12" s="58"/>
      <c r="Y12" s="59"/>
      <c r="Z12" s="37"/>
      <c r="AA12" s="50">
        <f t="shared" si="0"/>
        <v>0</v>
      </c>
      <c r="AB12" s="52">
        <f t="shared" si="1"/>
        <v>0</v>
      </c>
      <c r="AC12" s="82"/>
      <c r="AD12" s="83"/>
      <c r="AE12" s="82"/>
      <c r="AF12" s="84"/>
      <c r="AG12" s="85"/>
      <c r="AH12" s="86"/>
      <c r="AI12" s="47">
        <f t="shared" si="2"/>
        <v>0</v>
      </c>
      <c r="AJ12" s="94">
        <f t="shared" si="3"/>
        <v>0</v>
      </c>
      <c r="AK12" s="36"/>
      <c r="AL12" s="36"/>
      <c r="AM12" s="70"/>
    </row>
    <row r="13" spans="1:39" ht="15" customHeight="1">
      <c r="A13" s="55">
        <v>3</v>
      </c>
      <c r="B13" s="55">
        <v>304</v>
      </c>
      <c r="C13" s="1"/>
      <c r="D13" s="96"/>
      <c r="E13" s="39"/>
      <c r="F13" s="68"/>
      <c r="G13" s="1"/>
      <c r="H13" s="39"/>
      <c r="I13" s="39"/>
      <c r="J13" s="1"/>
      <c r="K13" s="39"/>
      <c r="L13" s="1"/>
      <c r="M13" s="39"/>
      <c r="N13" s="39"/>
      <c r="O13" s="1"/>
      <c r="P13" s="39"/>
      <c r="Q13" s="39"/>
      <c r="R13" s="39"/>
      <c r="S13" s="1"/>
      <c r="T13" s="39"/>
      <c r="U13" s="39"/>
      <c r="V13" s="39"/>
      <c r="W13" s="69"/>
      <c r="X13" s="58"/>
      <c r="Y13" s="58"/>
      <c r="Z13" s="58"/>
      <c r="AA13" s="50">
        <f t="shared" si="0"/>
        <v>0</v>
      </c>
      <c r="AB13" s="52">
        <f t="shared" si="1"/>
        <v>0</v>
      </c>
      <c r="AC13" s="82"/>
      <c r="AD13" s="83"/>
      <c r="AE13" s="82"/>
      <c r="AF13" s="84"/>
      <c r="AG13" s="85"/>
      <c r="AH13" s="86"/>
      <c r="AI13" s="47">
        <f t="shared" si="2"/>
        <v>0</v>
      </c>
      <c r="AJ13" s="94">
        <f t="shared" si="3"/>
        <v>0</v>
      </c>
      <c r="AK13" s="1"/>
      <c r="AL13" s="38"/>
      <c r="AM13" s="70"/>
    </row>
    <row r="14" spans="1:39" ht="15" customHeight="1">
      <c r="A14" s="55">
        <v>3</v>
      </c>
      <c r="B14" s="55">
        <v>401</v>
      </c>
      <c r="C14" s="1"/>
      <c r="D14" s="96"/>
      <c r="E14" s="39"/>
      <c r="F14" s="39"/>
      <c r="G14" s="1"/>
      <c r="H14" s="39"/>
      <c r="I14" s="39"/>
      <c r="J14" s="1"/>
      <c r="K14" s="1"/>
      <c r="L14" s="1"/>
      <c r="M14" s="1"/>
      <c r="N14" s="1"/>
      <c r="O14" s="1"/>
      <c r="P14" s="1"/>
      <c r="Q14" s="39"/>
      <c r="R14" s="1"/>
      <c r="S14" s="1"/>
      <c r="T14" s="39"/>
      <c r="U14" s="39"/>
      <c r="V14" s="39"/>
      <c r="W14" s="69"/>
      <c r="X14" s="1"/>
      <c r="Y14" s="1"/>
      <c r="Z14" s="1"/>
      <c r="AA14" s="50">
        <f t="shared" si="0"/>
        <v>0</v>
      </c>
      <c r="AB14" s="52">
        <f t="shared" si="1"/>
        <v>0</v>
      </c>
      <c r="AC14" s="82"/>
      <c r="AD14" s="83"/>
      <c r="AE14" s="82"/>
      <c r="AF14" s="84"/>
      <c r="AG14" s="85"/>
      <c r="AH14" s="86"/>
      <c r="AI14" s="47">
        <f t="shared" si="2"/>
        <v>0</v>
      </c>
      <c r="AJ14" s="94">
        <f t="shared" si="3"/>
        <v>0</v>
      </c>
      <c r="AK14" s="1"/>
      <c r="AL14" s="38"/>
      <c r="AM14" s="1"/>
    </row>
    <row r="15" spans="1:39" ht="15" customHeight="1">
      <c r="A15" s="55">
        <v>3</v>
      </c>
      <c r="B15" s="55">
        <v>402</v>
      </c>
      <c r="C15" s="1"/>
      <c r="D15" s="96"/>
      <c r="E15" s="39"/>
      <c r="F15" s="39"/>
      <c r="G15" s="1"/>
      <c r="H15" s="39"/>
      <c r="I15" s="39"/>
      <c r="J15" s="1"/>
      <c r="K15" s="1"/>
      <c r="L15" s="1"/>
      <c r="M15" s="1"/>
      <c r="N15" s="1"/>
      <c r="O15" s="1"/>
      <c r="P15" s="1"/>
      <c r="Q15" s="39"/>
      <c r="R15" s="1"/>
      <c r="S15" s="1"/>
      <c r="T15" s="39"/>
      <c r="U15" s="39"/>
      <c r="V15" s="39"/>
      <c r="W15" s="69"/>
      <c r="X15" s="1"/>
      <c r="Y15" s="1"/>
      <c r="Z15" s="1"/>
      <c r="AA15" s="50">
        <f t="shared" si="0"/>
        <v>0</v>
      </c>
      <c r="AB15" s="52">
        <f t="shared" si="1"/>
        <v>0</v>
      </c>
      <c r="AC15" s="82"/>
      <c r="AD15" s="83"/>
      <c r="AE15" s="82"/>
      <c r="AF15" s="84"/>
      <c r="AG15" s="85"/>
      <c r="AH15" s="86"/>
      <c r="AI15" s="47">
        <f t="shared" si="2"/>
        <v>0</v>
      </c>
      <c r="AJ15" s="94">
        <f t="shared" si="3"/>
        <v>0</v>
      </c>
      <c r="AK15" s="1"/>
      <c r="AL15" s="38"/>
      <c r="AM15" s="1"/>
    </row>
    <row r="16" spans="1:39" ht="15" customHeight="1">
      <c r="A16" s="55">
        <v>3</v>
      </c>
      <c r="B16" s="55">
        <v>403</v>
      </c>
      <c r="C16" s="1"/>
      <c r="D16" s="96"/>
      <c r="E16" s="39"/>
      <c r="F16" s="39"/>
      <c r="G16" s="1"/>
      <c r="H16" s="39"/>
      <c r="I16" s="39"/>
      <c r="J16" s="1"/>
      <c r="K16" s="1"/>
      <c r="L16" s="1"/>
      <c r="M16" s="1"/>
      <c r="N16" s="1"/>
      <c r="O16" s="1"/>
      <c r="P16" s="1"/>
      <c r="Q16" s="39"/>
      <c r="R16" s="1"/>
      <c r="S16" s="1"/>
      <c r="T16" s="39"/>
      <c r="U16" s="39"/>
      <c r="V16" s="39"/>
      <c r="W16" s="69"/>
      <c r="X16" s="1"/>
      <c r="Y16" s="1"/>
      <c r="Z16" s="1"/>
      <c r="AA16" s="50">
        <f t="shared" si="0"/>
        <v>0</v>
      </c>
      <c r="AB16" s="52">
        <f t="shared" si="1"/>
        <v>0</v>
      </c>
      <c r="AC16" s="82"/>
      <c r="AD16" s="83"/>
      <c r="AE16" s="82"/>
      <c r="AF16" s="84"/>
      <c r="AG16" s="85"/>
      <c r="AH16" s="86"/>
      <c r="AI16" s="47">
        <f t="shared" si="2"/>
        <v>0</v>
      </c>
      <c r="AJ16" s="94">
        <f t="shared" si="3"/>
        <v>0</v>
      </c>
      <c r="AK16" s="1"/>
      <c r="AL16" s="38"/>
      <c r="AM16" s="1"/>
    </row>
    <row r="17" spans="1:39" ht="15" customHeight="1">
      <c r="A17" s="55">
        <v>3</v>
      </c>
      <c r="B17" s="55">
        <v>404</v>
      </c>
      <c r="C17" s="1"/>
      <c r="D17" s="96"/>
      <c r="E17" s="39"/>
      <c r="F17" s="39"/>
      <c r="G17" s="1"/>
      <c r="H17" s="39"/>
      <c r="I17" s="39"/>
      <c r="J17" s="1"/>
      <c r="K17" s="1"/>
      <c r="L17" s="1"/>
      <c r="M17" s="1"/>
      <c r="N17" s="1"/>
      <c r="O17" s="1"/>
      <c r="P17" s="1"/>
      <c r="Q17" s="39"/>
      <c r="R17" s="1"/>
      <c r="S17" s="1"/>
      <c r="T17" s="39"/>
      <c r="U17" s="39"/>
      <c r="V17" s="39"/>
      <c r="W17" s="69"/>
      <c r="X17" s="1"/>
      <c r="Y17" s="1"/>
      <c r="Z17" s="1"/>
      <c r="AA17" s="50">
        <f t="shared" si="0"/>
        <v>0</v>
      </c>
      <c r="AB17" s="52">
        <f t="shared" si="1"/>
        <v>0</v>
      </c>
      <c r="AC17" s="82"/>
      <c r="AD17" s="83"/>
      <c r="AE17" s="82"/>
      <c r="AF17" s="84"/>
      <c r="AG17" s="85"/>
      <c r="AH17" s="86"/>
      <c r="AI17" s="47">
        <f t="shared" si="2"/>
        <v>0</v>
      </c>
      <c r="AJ17" s="94">
        <f t="shared" si="3"/>
        <v>0</v>
      </c>
      <c r="AK17" s="1"/>
      <c r="AL17" s="38"/>
      <c r="AM17" s="1"/>
    </row>
    <row r="18" spans="1:39" ht="15" customHeight="1">
      <c r="A18" s="55">
        <v>3</v>
      </c>
      <c r="B18" s="55">
        <v>501</v>
      </c>
      <c r="C18" s="1"/>
      <c r="D18" s="96"/>
      <c r="E18" s="39"/>
      <c r="F18" s="39"/>
      <c r="G18" s="1"/>
      <c r="H18" s="39"/>
      <c r="I18" s="39"/>
      <c r="J18" s="1"/>
      <c r="K18" s="1"/>
      <c r="L18" s="1"/>
      <c r="M18" s="1"/>
      <c r="N18" s="1"/>
      <c r="O18" s="1"/>
      <c r="P18" s="1"/>
      <c r="Q18" s="39"/>
      <c r="R18" s="1"/>
      <c r="S18" s="1"/>
      <c r="T18" s="39"/>
      <c r="U18" s="39"/>
      <c r="V18" s="39"/>
      <c r="W18" s="53"/>
      <c r="X18" s="1"/>
      <c r="Y18" s="1"/>
      <c r="Z18" s="1"/>
      <c r="AA18" s="50">
        <f t="shared" si="0"/>
        <v>0</v>
      </c>
      <c r="AB18" s="52">
        <f t="shared" si="1"/>
        <v>0</v>
      </c>
      <c r="AC18" s="82"/>
      <c r="AD18" s="83"/>
      <c r="AE18" s="82"/>
      <c r="AF18" s="84"/>
      <c r="AG18" s="85"/>
      <c r="AH18" s="86"/>
      <c r="AI18" s="47">
        <f t="shared" si="2"/>
        <v>0</v>
      </c>
      <c r="AJ18" s="94">
        <f t="shared" si="3"/>
        <v>0</v>
      </c>
      <c r="AK18" s="1"/>
      <c r="AL18" s="38"/>
      <c r="AM18" s="1"/>
    </row>
    <row r="19" spans="1:39" ht="15" customHeight="1">
      <c r="A19" s="55">
        <v>3</v>
      </c>
      <c r="B19" s="55">
        <v>502</v>
      </c>
      <c r="C19" s="1"/>
      <c r="D19" s="96"/>
      <c r="E19" s="39"/>
      <c r="F19" s="39"/>
      <c r="G19" s="1"/>
      <c r="H19" s="39"/>
      <c r="I19" s="39"/>
      <c r="J19" s="1"/>
      <c r="K19" s="1"/>
      <c r="L19" s="1"/>
      <c r="M19" s="1"/>
      <c r="N19" s="1"/>
      <c r="O19" s="1"/>
      <c r="P19" s="1"/>
      <c r="Q19" s="39"/>
      <c r="R19" s="1"/>
      <c r="S19" s="1"/>
      <c r="T19" s="39"/>
      <c r="U19" s="39"/>
      <c r="V19" s="39"/>
      <c r="W19" s="53"/>
      <c r="X19" s="1"/>
      <c r="Y19" s="1"/>
      <c r="Z19" s="1"/>
      <c r="AA19" s="50">
        <f t="shared" si="0"/>
        <v>0</v>
      </c>
      <c r="AB19" s="52">
        <f t="shared" si="1"/>
        <v>0</v>
      </c>
      <c r="AC19" s="82"/>
      <c r="AD19" s="83"/>
      <c r="AE19" s="82"/>
      <c r="AF19" s="84"/>
      <c r="AG19" s="85"/>
      <c r="AH19" s="86"/>
      <c r="AI19" s="47">
        <f t="shared" si="2"/>
        <v>0</v>
      </c>
      <c r="AJ19" s="94">
        <f t="shared" si="3"/>
        <v>0</v>
      </c>
      <c r="AK19" s="1"/>
      <c r="AL19" s="38"/>
      <c r="AM19" s="1"/>
    </row>
    <row r="20" spans="1:39" ht="15" customHeight="1">
      <c r="A20" s="55">
        <v>3</v>
      </c>
      <c r="B20" s="55">
        <v>503</v>
      </c>
      <c r="C20" s="1"/>
      <c r="D20" s="96"/>
      <c r="E20" s="39"/>
      <c r="F20" s="39"/>
      <c r="G20" s="1"/>
      <c r="H20" s="39"/>
      <c r="I20" s="39"/>
      <c r="J20" s="1"/>
      <c r="K20" s="1"/>
      <c r="L20" s="1"/>
      <c r="M20" s="1"/>
      <c r="N20" s="1"/>
      <c r="O20" s="1"/>
      <c r="P20" s="1"/>
      <c r="Q20" s="39"/>
      <c r="R20" s="1"/>
      <c r="S20" s="1"/>
      <c r="T20" s="39"/>
      <c r="U20" s="39"/>
      <c r="V20" s="39"/>
      <c r="W20" s="53"/>
      <c r="X20" s="1"/>
      <c r="Y20" s="1"/>
      <c r="Z20" s="1"/>
      <c r="AA20" s="50">
        <f t="shared" si="0"/>
        <v>0</v>
      </c>
      <c r="AB20" s="52">
        <f t="shared" si="1"/>
        <v>0</v>
      </c>
      <c r="AC20" s="82"/>
      <c r="AD20" s="83"/>
      <c r="AE20" s="82"/>
      <c r="AF20" s="84"/>
      <c r="AG20" s="85"/>
      <c r="AH20" s="86"/>
      <c r="AI20" s="47">
        <f t="shared" si="2"/>
        <v>0</v>
      </c>
      <c r="AJ20" s="94">
        <f t="shared" si="3"/>
        <v>0</v>
      </c>
      <c r="AK20" s="1"/>
      <c r="AL20" s="38"/>
      <c r="AM20" s="1"/>
    </row>
    <row r="21" spans="1:39" ht="15" customHeight="1">
      <c r="A21" s="55">
        <v>3</v>
      </c>
      <c r="B21" s="55">
        <v>504</v>
      </c>
      <c r="C21" s="1"/>
      <c r="D21" s="96"/>
      <c r="E21" s="39"/>
      <c r="F21" s="39"/>
      <c r="G21" s="1"/>
      <c r="H21" s="39"/>
      <c r="I21" s="39"/>
      <c r="J21" s="1"/>
      <c r="K21" s="1"/>
      <c r="L21" s="1"/>
      <c r="M21" s="1"/>
      <c r="N21" s="1"/>
      <c r="O21" s="1"/>
      <c r="P21" s="1"/>
      <c r="Q21" s="39"/>
      <c r="R21" s="1"/>
      <c r="S21" s="1"/>
      <c r="T21" s="39"/>
      <c r="U21" s="39"/>
      <c r="V21" s="39"/>
      <c r="W21" s="53"/>
      <c r="X21" s="1"/>
      <c r="Y21" s="1"/>
      <c r="Z21" s="1"/>
      <c r="AA21" s="50">
        <f t="shared" si="0"/>
        <v>0</v>
      </c>
      <c r="AB21" s="52">
        <f t="shared" si="1"/>
        <v>0</v>
      </c>
      <c r="AC21" s="82"/>
      <c r="AD21" s="83"/>
      <c r="AE21" s="82"/>
      <c r="AF21" s="84"/>
      <c r="AG21" s="85"/>
      <c r="AH21" s="86"/>
      <c r="AI21" s="47">
        <f t="shared" si="2"/>
        <v>0</v>
      </c>
      <c r="AJ21" s="94">
        <f t="shared" si="3"/>
        <v>0</v>
      </c>
      <c r="AK21" s="1"/>
      <c r="AL21" s="38"/>
      <c r="AM21" s="1"/>
    </row>
  </sheetData>
  <autoFilter ref="A1:AM13" xr:uid="{00000000-0009-0000-0000-000004000000}"/>
  <hyperlinks>
    <hyperlink ref="F7" r:id="rId1" xr:uid="{1CDBD4F7-3AD2-4505-9D53-3E1178FD5992}"/>
  </hyperlinks>
  <pageMargins left="0.7" right="0.7" top="0.75" bottom="0.75" header="0.3" footer="0.3"/>
  <pageSetup orientation="landscape" horizontalDpi="360" verticalDpi="360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33"/>
  <sheetViews>
    <sheetView zoomScale="90" zoomScaleNormal="90" workbookViewId="0">
      <selection activeCell="N10" sqref="N10"/>
    </sheetView>
  </sheetViews>
  <sheetFormatPr baseColWidth="10" defaultColWidth="8.7109375" defaultRowHeight="15"/>
  <cols>
    <col min="1" max="1" width="26.42578125" style="3" customWidth="1"/>
    <col min="2" max="2" width="10.140625" style="3" customWidth="1"/>
    <col min="3" max="3" width="11.42578125" style="3" customWidth="1"/>
    <col min="4" max="5" width="10.140625" style="3" customWidth="1"/>
    <col min="6" max="10" width="10.42578125" style="3" customWidth="1"/>
    <col min="11" max="11" width="12.7109375" style="3" customWidth="1"/>
    <col min="12" max="12" width="9.7109375" style="3" customWidth="1"/>
    <col min="13" max="13" width="12.42578125" style="3" customWidth="1"/>
    <col min="14" max="16384" width="8.7109375" style="3"/>
  </cols>
  <sheetData>
    <row r="1" spans="1:13">
      <c r="A1" s="4"/>
      <c r="B1" s="4" t="s">
        <v>34</v>
      </c>
      <c r="C1" s="4" t="s">
        <v>35</v>
      </c>
      <c r="D1" s="4" t="s">
        <v>36</v>
      </c>
      <c r="E1" s="4" t="s">
        <v>37</v>
      </c>
      <c r="F1" s="14" t="s">
        <v>50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24</v>
      </c>
      <c r="L1" s="4" t="s">
        <v>42</v>
      </c>
      <c r="M1" s="4" t="s">
        <v>43</v>
      </c>
    </row>
    <row r="2" spans="1:13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4">
        <f>SUM(B2:L2)</f>
        <v>0</v>
      </c>
    </row>
    <row r="3" spans="1:13">
      <c r="A3" s="8">
        <v>45992</v>
      </c>
      <c r="B3" s="6">
        <v>19</v>
      </c>
      <c r="C3" s="7">
        <v>0</v>
      </c>
      <c r="D3" s="7">
        <v>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4">
        <f>SUM(B3:L3)</f>
        <v>20</v>
      </c>
    </row>
    <row r="4" spans="1:13">
      <c r="A4" s="8">
        <v>46023</v>
      </c>
      <c r="B4" s="6">
        <v>19</v>
      </c>
      <c r="C4" s="2">
        <v>0</v>
      </c>
      <c r="D4" s="9">
        <v>1</v>
      </c>
      <c r="E4" s="9">
        <v>0</v>
      </c>
      <c r="F4" s="9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4">
        <f t="shared" ref="M4:M15" si="0">SUM(B4:L4)</f>
        <v>20</v>
      </c>
    </row>
    <row r="5" spans="1:13">
      <c r="A5" s="8">
        <v>46054</v>
      </c>
      <c r="B5" s="7">
        <v>0</v>
      </c>
      <c r="C5" s="2">
        <v>0</v>
      </c>
      <c r="D5" s="9">
        <v>0</v>
      </c>
      <c r="E5" s="9">
        <v>0</v>
      </c>
      <c r="F5" s="9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4">
        <f t="shared" si="0"/>
        <v>0</v>
      </c>
    </row>
    <row r="6" spans="1:13">
      <c r="A6" s="8">
        <v>46082</v>
      </c>
      <c r="B6" s="7">
        <v>0</v>
      </c>
      <c r="C6" s="2">
        <v>0</v>
      </c>
      <c r="D6" s="9">
        <v>0</v>
      </c>
      <c r="E6" s="9">
        <v>0</v>
      </c>
      <c r="F6" s="9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4">
        <f t="shared" si="0"/>
        <v>0</v>
      </c>
    </row>
    <row r="7" spans="1:13">
      <c r="A7" s="8">
        <v>46113</v>
      </c>
      <c r="B7" s="7">
        <v>0</v>
      </c>
      <c r="C7" s="2">
        <v>0</v>
      </c>
      <c r="D7" s="9">
        <v>0</v>
      </c>
      <c r="E7" s="9">
        <v>0</v>
      </c>
      <c r="F7" s="9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4">
        <f t="shared" si="0"/>
        <v>0</v>
      </c>
    </row>
    <row r="8" spans="1:13" customFormat="1">
      <c r="A8" s="8">
        <v>46143</v>
      </c>
      <c r="B8" s="7">
        <v>0</v>
      </c>
      <c r="C8" s="2">
        <v>0</v>
      </c>
      <c r="D8" s="9">
        <v>0</v>
      </c>
      <c r="E8" s="9">
        <v>0</v>
      </c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4">
        <f t="shared" si="0"/>
        <v>0</v>
      </c>
    </row>
    <row r="9" spans="1:13" customFormat="1">
      <c r="A9" s="8">
        <v>46174</v>
      </c>
      <c r="B9" s="7">
        <v>0</v>
      </c>
      <c r="C9" s="2">
        <v>0</v>
      </c>
      <c r="D9" s="9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4">
        <f t="shared" si="0"/>
        <v>0</v>
      </c>
    </row>
    <row r="10" spans="1:13" customFormat="1">
      <c r="A10" s="8">
        <v>46204</v>
      </c>
      <c r="B10" s="7">
        <v>0</v>
      </c>
      <c r="C10" s="2">
        <v>0</v>
      </c>
      <c r="D10" s="9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4">
        <f t="shared" si="0"/>
        <v>0</v>
      </c>
    </row>
    <row r="11" spans="1:13" customFormat="1">
      <c r="A11" s="8">
        <v>46235</v>
      </c>
      <c r="B11" s="7">
        <v>0</v>
      </c>
      <c r="C11" s="2">
        <v>0</v>
      </c>
      <c r="D11" s="9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4">
        <f t="shared" si="0"/>
        <v>0</v>
      </c>
    </row>
    <row r="12" spans="1:13" customFormat="1">
      <c r="A12" s="8">
        <v>46266</v>
      </c>
      <c r="B12" s="7">
        <v>0</v>
      </c>
      <c r="C12" s="2">
        <v>0</v>
      </c>
      <c r="D12" s="9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4">
        <f t="shared" si="0"/>
        <v>0</v>
      </c>
    </row>
    <row r="13" spans="1:13">
      <c r="A13" s="8">
        <v>46296</v>
      </c>
      <c r="B13" s="7">
        <v>0</v>
      </c>
      <c r="C13" s="2">
        <v>0</v>
      </c>
      <c r="D13" s="9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4">
        <f t="shared" si="0"/>
        <v>0</v>
      </c>
    </row>
    <row r="14" spans="1:13">
      <c r="A14" s="8">
        <v>46327</v>
      </c>
      <c r="B14" s="7">
        <v>0</v>
      </c>
      <c r="C14" s="2">
        <v>0</v>
      </c>
      <c r="D14" s="9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4">
        <f t="shared" si="0"/>
        <v>0</v>
      </c>
    </row>
    <row r="15" spans="1:13">
      <c r="A15" s="8">
        <v>46357</v>
      </c>
      <c r="B15" s="7">
        <v>0</v>
      </c>
      <c r="C15" s="2">
        <v>0</v>
      </c>
      <c r="D15" s="9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4">
        <f t="shared" si="0"/>
        <v>0</v>
      </c>
    </row>
    <row r="16" spans="1:13">
      <c r="A16" s="13"/>
      <c r="B16" s="11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4"/>
    </row>
    <row r="17" spans="1:27">
      <c r="A17" s="13"/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4"/>
    </row>
    <row r="18" spans="1:27">
      <c r="A18" s="13"/>
      <c r="B18" s="11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4"/>
    </row>
    <row r="19" spans="1:27">
      <c r="A19" s="13"/>
      <c r="B19" s="11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4"/>
    </row>
    <row r="20" spans="1:27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27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27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27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27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27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27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27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27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27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27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27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</sheetData>
  <pageMargins left="0.7" right="0.7" top="0.75" bottom="0.75" header="0.3" footer="0.3"/>
  <pageSetup orientation="portrait"/>
  <ignoredErrors>
    <ignoredError sqref="M3:M15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TORRE 3</vt:lpstr>
      <vt:lpstr>CONTROLLO VENDITE TORRE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</dc:creator>
  <cp:lastModifiedBy>ACER</cp:lastModifiedBy>
  <cp:lastPrinted>2025-11-23T17:27:42Z</cp:lastPrinted>
  <dcterms:created xsi:type="dcterms:W3CDTF">2019-04-05T14:31:00Z</dcterms:created>
  <dcterms:modified xsi:type="dcterms:W3CDTF">2026-02-09T21:32:13Z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88B5FF23B6164D138D01DEA4565E62A1_12</vt:lpwstr>
  </property>
  <property fmtid="{D5CDD505-2E9C-101B-9397-08002B2CF9AE}" pid="3" name="KSOProductBuildVer">
    <vt:lpwstr>3082-12.2.0.20326</vt:lpwstr>
  </property>
</Properties>
</file>